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Project\Sorowar Sir\Causes of Deaths\"/>
    </mc:Choice>
  </mc:AlternateContent>
  <xr:revisionPtr revIDLastSave="0" documentId="13_ncr:1_{BDA4A487-4015-4F53-9B5F-C718D5C87376}" xr6:coauthVersionLast="47" xr6:coauthVersionMax="47" xr10:uidLastSave="{00000000-0000-0000-0000-000000000000}"/>
  <bookViews>
    <workbookView xWindow="-120" yWindow="-120" windowWidth="20730" windowHeight="11040" activeTab="2" xr2:uid="{D59E1812-00E2-46C2-B4ED-CEBFB390F202}"/>
  </bookViews>
  <sheets>
    <sheet name="Graph" sheetId="1" r:id="rId1"/>
    <sheet name="Sheet2" sheetId="3" r:id="rId2"/>
    <sheet name="Sheet1" sheetId="2" r:id="rId3"/>
  </sheets>
  <definedNames>
    <definedName name="_xlnm._FilterDatabase" localSheetId="1" hidden="1">Sheet2!$A$1:$B$1</definedName>
  </definedNames>
  <calcPr calcId="19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2" i="1"/>
  <c r="N13" i="1" s="1"/>
  <c r="C13" i="1"/>
  <c r="D13" i="1"/>
  <c r="E13" i="1"/>
  <c r="F13" i="1"/>
  <c r="G13" i="1"/>
  <c r="H13" i="1"/>
  <c r="I13" i="1"/>
  <c r="J13" i="1"/>
  <c r="K13" i="1"/>
  <c r="L13" i="1"/>
  <c r="M13" i="1"/>
  <c r="B13" i="1"/>
</calcChain>
</file>

<file path=xl/sharedStrings.xml><?xml version="1.0" encoding="utf-8"?>
<sst xmlns="http://schemas.openxmlformats.org/spreadsheetml/2006/main" count="107" uniqueCount="60">
  <si>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</si>
  <si>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</si>
  <si>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</si>
  <si>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</si>
  <si>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</si>
  <si>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</si>
  <si>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</si>
  <si>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</si>
  <si>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</si>
  <si>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</si>
  <si>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</si>
  <si>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</si>
  <si>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</si>
  <si>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Accident</t>
  </si>
  <si>
    <t>Cancer</t>
  </si>
  <si>
    <t>Cardiovascular disease</t>
  </si>
  <si>
    <t>Chronic Disease</t>
  </si>
  <si>
    <t>Lung disease</t>
  </si>
  <si>
    <t>Other</t>
  </si>
  <si>
    <t>Unknown</t>
  </si>
  <si>
    <t>Anemia</t>
  </si>
  <si>
    <t>Asthma</t>
  </si>
  <si>
    <t>Blood Cancer</t>
  </si>
  <si>
    <t>Brain tumor</t>
  </si>
  <si>
    <t>Breast Cancer</t>
  </si>
  <si>
    <t>Cardiac Arrest</t>
  </si>
  <si>
    <t>Cold</t>
  </si>
  <si>
    <t>Covid-19</t>
  </si>
  <si>
    <t>Diabetes</t>
  </si>
  <si>
    <t>Diarrhea</t>
  </si>
  <si>
    <t>Drowning</t>
  </si>
  <si>
    <t>Electric accident</t>
  </si>
  <si>
    <t>Fever</t>
  </si>
  <si>
    <t>Fire Accident</t>
  </si>
  <si>
    <t>Heart Disease</t>
  </si>
  <si>
    <t>Injury</t>
  </si>
  <si>
    <t>Jaundice</t>
  </si>
  <si>
    <t>Kidney Failure</t>
  </si>
  <si>
    <t>Lung Cancer</t>
  </si>
  <si>
    <t>Lung Failure</t>
  </si>
  <si>
    <t>Maternal Death</t>
  </si>
  <si>
    <t>Neonatal death</t>
  </si>
  <si>
    <t>Other Accident</t>
  </si>
  <si>
    <t>Paralysis</t>
  </si>
  <si>
    <t>Pneumonia</t>
  </si>
  <si>
    <t>Rail accident</t>
  </si>
  <si>
    <t>Road Accident</t>
  </si>
  <si>
    <t>Stroke</t>
  </si>
  <si>
    <t>Train Accident</t>
  </si>
  <si>
    <t>Tuberculosis</t>
  </si>
  <si>
    <t>Tumer</t>
  </si>
  <si>
    <t>Ulcer</t>
  </si>
  <si>
    <t>Grand Total</t>
  </si>
  <si>
    <t>Known disease</t>
  </si>
  <si>
    <t>Unknown disease</t>
  </si>
  <si>
    <t>Known Cause</t>
  </si>
  <si>
    <t>Unknown Cause</t>
  </si>
  <si>
    <t>Total</t>
  </si>
  <si>
    <t>Causes of death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</si>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</sst>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Yearly and monthly death counts from 2011 to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6">
                <a:tint val="41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Graph!$B$2:$B$12</c:f>
              <c:numCache>
                <c:formatCode>General</c:formatCode>
                <c:ptCount val="11"/>
                <c:pt idx="0">
                  <c:v>87</c:v>
                </c:pt>
                <c:pt idx="1">
                  <c:v>71</c:v>
                </c:pt>
                <c:pt idx="2">
                  <c:v>93</c:v>
                </c:pt>
                <c:pt idx="3">
                  <c:v>85</c:v>
                </c:pt>
                <c:pt idx="4">
                  <c:v>90</c:v>
                </c:pt>
                <c:pt idx="5">
                  <c:v>100</c:v>
                </c:pt>
                <c:pt idx="6">
                  <c:v>96</c:v>
                </c:pt>
                <c:pt idx="7">
                  <c:v>106</c:v>
                </c:pt>
                <c:pt idx="8">
                  <c:v>87</c:v>
                </c:pt>
                <c:pt idx="9">
                  <c:v>118</c:v>
                </c:pt>
                <c:pt idx="10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B-4643-AEC1-EEBF510E2AF4}"/>
            </c:ext>
          </c:extLst>
        </c:ser>
        <c:ser>
          <c:idx val="1"/>
          <c:order val="1"/>
          <c:tx>
            <c:strRef>
              <c:f>Graph!$C$1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6">
                <a:tint val="5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Graph!$C$2:$C$12</c:f>
              <c:numCache>
                <c:formatCode>General</c:formatCode>
                <c:ptCount val="11"/>
                <c:pt idx="0">
                  <c:v>115</c:v>
                </c:pt>
                <c:pt idx="1">
                  <c:v>71</c:v>
                </c:pt>
                <c:pt idx="2">
                  <c:v>70</c:v>
                </c:pt>
                <c:pt idx="3">
                  <c:v>70</c:v>
                </c:pt>
                <c:pt idx="4">
                  <c:v>84</c:v>
                </c:pt>
                <c:pt idx="5">
                  <c:v>74</c:v>
                </c:pt>
                <c:pt idx="6">
                  <c:v>96</c:v>
                </c:pt>
                <c:pt idx="7">
                  <c:v>72</c:v>
                </c:pt>
                <c:pt idx="8">
                  <c:v>100</c:v>
                </c:pt>
                <c:pt idx="9">
                  <c:v>65</c:v>
                </c:pt>
                <c:pt idx="10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FB-4643-AEC1-EEBF510E2AF4}"/>
            </c:ext>
          </c:extLst>
        </c:ser>
        <c:ser>
          <c:idx val="2"/>
          <c:order val="2"/>
          <c:tx>
            <c:strRef>
              <c:f>Graph!$D$1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6">
                <a:tint val="6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Graph!$D$2:$D$12</c:f>
              <c:numCache>
                <c:formatCode>General</c:formatCode>
                <c:ptCount val="11"/>
                <c:pt idx="0">
                  <c:v>64</c:v>
                </c:pt>
                <c:pt idx="1">
                  <c:v>73</c:v>
                </c:pt>
                <c:pt idx="2">
                  <c:v>60</c:v>
                </c:pt>
                <c:pt idx="3">
                  <c:v>77</c:v>
                </c:pt>
                <c:pt idx="4">
                  <c:v>54</c:v>
                </c:pt>
                <c:pt idx="5">
                  <c:v>72</c:v>
                </c:pt>
                <c:pt idx="6">
                  <c:v>93</c:v>
                </c:pt>
                <c:pt idx="7">
                  <c:v>79</c:v>
                </c:pt>
                <c:pt idx="8">
                  <c:v>89</c:v>
                </c:pt>
                <c:pt idx="9">
                  <c:v>100</c:v>
                </c:pt>
                <c:pt idx="10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FB-4643-AEC1-EEBF510E2AF4}"/>
            </c:ext>
          </c:extLst>
        </c:ser>
        <c:ser>
          <c:idx val="3"/>
          <c:order val="3"/>
          <c:tx>
            <c:strRef>
              <c:f>Graph!$E$1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6">
                <a:tint val="7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Graph!$E$2:$E$12</c:f>
              <c:numCache>
                <c:formatCode>General</c:formatCode>
                <c:ptCount val="11"/>
                <c:pt idx="0">
                  <c:v>48</c:v>
                </c:pt>
                <c:pt idx="1">
                  <c:v>63</c:v>
                </c:pt>
                <c:pt idx="2">
                  <c:v>55</c:v>
                </c:pt>
                <c:pt idx="3">
                  <c:v>63</c:v>
                </c:pt>
                <c:pt idx="4">
                  <c:v>59</c:v>
                </c:pt>
                <c:pt idx="5">
                  <c:v>67</c:v>
                </c:pt>
                <c:pt idx="6">
                  <c:v>61</c:v>
                </c:pt>
                <c:pt idx="7">
                  <c:v>70</c:v>
                </c:pt>
                <c:pt idx="8">
                  <c:v>82</c:v>
                </c:pt>
                <c:pt idx="9">
                  <c:v>81</c:v>
                </c:pt>
                <c:pt idx="10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FB-4643-AEC1-EEBF510E2AF4}"/>
            </c:ext>
          </c:extLst>
        </c:ser>
        <c:ser>
          <c:idx val="4"/>
          <c:order val="4"/>
          <c:tx>
            <c:strRef>
              <c:f>Graph!$F$1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6">
                <a:tint val="8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Graph!$F$2:$F$12</c:f>
              <c:numCache>
                <c:formatCode>General</c:formatCode>
                <c:ptCount val="11"/>
                <c:pt idx="0">
                  <c:v>51</c:v>
                </c:pt>
                <c:pt idx="1">
                  <c:v>45</c:v>
                </c:pt>
                <c:pt idx="2">
                  <c:v>55</c:v>
                </c:pt>
                <c:pt idx="3">
                  <c:v>60</c:v>
                </c:pt>
                <c:pt idx="4">
                  <c:v>69</c:v>
                </c:pt>
                <c:pt idx="5">
                  <c:v>74</c:v>
                </c:pt>
                <c:pt idx="6">
                  <c:v>98</c:v>
                </c:pt>
                <c:pt idx="7">
                  <c:v>63</c:v>
                </c:pt>
                <c:pt idx="8">
                  <c:v>88</c:v>
                </c:pt>
                <c:pt idx="9">
                  <c:v>55</c:v>
                </c:pt>
                <c:pt idx="10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FB-4643-AEC1-EEBF510E2AF4}"/>
            </c:ext>
          </c:extLst>
        </c:ser>
        <c:ser>
          <c:idx val="5"/>
          <c:order val="5"/>
          <c:tx>
            <c:strRef>
              <c:f>Graph!$G$1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>
                <a:tint val="9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Graph!$G$2:$G$12</c:f>
              <c:numCache>
                <c:formatCode>General</c:formatCode>
                <c:ptCount val="11"/>
                <c:pt idx="0">
                  <c:v>40</c:v>
                </c:pt>
                <c:pt idx="1">
                  <c:v>54</c:v>
                </c:pt>
                <c:pt idx="2">
                  <c:v>58</c:v>
                </c:pt>
                <c:pt idx="3">
                  <c:v>64</c:v>
                </c:pt>
                <c:pt idx="4">
                  <c:v>81</c:v>
                </c:pt>
                <c:pt idx="5">
                  <c:v>58</c:v>
                </c:pt>
                <c:pt idx="6">
                  <c:v>67</c:v>
                </c:pt>
                <c:pt idx="7">
                  <c:v>80</c:v>
                </c:pt>
                <c:pt idx="8">
                  <c:v>83</c:v>
                </c:pt>
                <c:pt idx="9">
                  <c:v>105</c:v>
                </c:pt>
                <c:pt idx="10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FB-4643-AEC1-EEBF510E2AF4}"/>
            </c:ext>
          </c:extLst>
        </c:ser>
        <c:ser>
          <c:idx val="6"/>
          <c:order val="6"/>
          <c:tx>
            <c:strRef>
              <c:f>Graph!$H$1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6">
                <a:shade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Graph!$H$2:$H$12</c:f>
              <c:numCache>
                <c:formatCode>General</c:formatCode>
                <c:ptCount val="11"/>
                <c:pt idx="0">
                  <c:v>66</c:v>
                </c:pt>
                <c:pt idx="1">
                  <c:v>63</c:v>
                </c:pt>
                <c:pt idx="2">
                  <c:v>71</c:v>
                </c:pt>
                <c:pt idx="3">
                  <c:v>81</c:v>
                </c:pt>
                <c:pt idx="4">
                  <c:v>76</c:v>
                </c:pt>
                <c:pt idx="5">
                  <c:v>64</c:v>
                </c:pt>
                <c:pt idx="6">
                  <c:v>78</c:v>
                </c:pt>
                <c:pt idx="7">
                  <c:v>67</c:v>
                </c:pt>
                <c:pt idx="8">
                  <c:v>81</c:v>
                </c:pt>
                <c:pt idx="9">
                  <c:v>90</c:v>
                </c:pt>
                <c:pt idx="10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FB-4643-AEC1-EEBF510E2AF4}"/>
            </c:ext>
          </c:extLst>
        </c:ser>
        <c:ser>
          <c:idx val="7"/>
          <c:order val="7"/>
          <c:tx>
            <c:strRef>
              <c:f>Graph!$I$1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6">
                <a:shade val="8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Graph!$I$2:$I$12</c:f>
              <c:numCache>
                <c:formatCode>General</c:formatCode>
                <c:ptCount val="11"/>
                <c:pt idx="0">
                  <c:v>46</c:v>
                </c:pt>
                <c:pt idx="1">
                  <c:v>53</c:v>
                </c:pt>
                <c:pt idx="2">
                  <c:v>54</c:v>
                </c:pt>
                <c:pt idx="3">
                  <c:v>50</c:v>
                </c:pt>
                <c:pt idx="4">
                  <c:v>59</c:v>
                </c:pt>
                <c:pt idx="5">
                  <c:v>78</c:v>
                </c:pt>
                <c:pt idx="6">
                  <c:v>94</c:v>
                </c:pt>
                <c:pt idx="7">
                  <c:v>90</c:v>
                </c:pt>
                <c:pt idx="8">
                  <c:v>75</c:v>
                </c:pt>
                <c:pt idx="9">
                  <c:v>153</c:v>
                </c:pt>
                <c:pt idx="1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FB-4643-AEC1-EEBF510E2AF4}"/>
            </c:ext>
          </c:extLst>
        </c:ser>
        <c:ser>
          <c:idx val="8"/>
          <c:order val="8"/>
          <c:tx>
            <c:strRef>
              <c:f>Graph!$J$1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6">
                <a:shade val="7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Graph!$J$2:$J$12</c:f>
              <c:numCache>
                <c:formatCode>General</c:formatCode>
                <c:ptCount val="11"/>
                <c:pt idx="0">
                  <c:v>78</c:v>
                </c:pt>
                <c:pt idx="1">
                  <c:v>60</c:v>
                </c:pt>
                <c:pt idx="2">
                  <c:v>49</c:v>
                </c:pt>
                <c:pt idx="3">
                  <c:v>74</c:v>
                </c:pt>
                <c:pt idx="4">
                  <c:v>74</c:v>
                </c:pt>
                <c:pt idx="5">
                  <c:v>70</c:v>
                </c:pt>
                <c:pt idx="6">
                  <c:v>58</c:v>
                </c:pt>
                <c:pt idx="7">
                  <c:v>77</c:v>
                </c:pt>
                <c:pt idx="8">
                  <c:v>83</c:v>
                </c:pt>
                <c:pt idx="9">
                  <c:v>130</c:v>
                </c:pt>
                <c:pt idx="1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FB-4643-AEC1-EEBF510E2AF4}"/>
            </c:ext>
          </c:extLst>
        </c:ser>
        <c:ser>
          <c:idx val="9"/>
          <c:order val="9"/>
          <c:tx>
            <c:strRef>
              <c:f>Graph!$K$1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6">
                <a:shade val="6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Graph!$K$2:$K$12</c:f>
              <c:numCache>
                <c:formatCode>General</c:formatCode>
                <c:ptCount val="11"/>
                <c:pt idx="0">
                  <c:v>59</c:v>
                </c:pt>
                <c:pt idx="1">
                  <c:v>69</c:v>
                </c:pt>
                <c:pt idx="2">
                  <c:v>63</c:v>
                </c:pt>
                <c:pt idx="3">
                  <c:v>54</c:v>
                </c:pt>
                <c:pt idx="4">
                  <c:v>63</c:v>
                </c:pt>
                <c:pt idx="5">
                  <c:v>76</c:v>
                </c:pt>
                <c:pt idx="6">
                  <c:v>98</c:v>
                </c:pt>
                <c:pt idx="7">
                  <c:v>73</c:v>
                </c:pt>
                <c:pt idx="8">
                  <c:v>73</c:v>
                </c:pt>
                <c:pt idx="9">
                  <c:v>66</c:v>
                </c:pt>
                <c:pt idx="10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FB-4643-AEC1-EEBF510E2AF4}"/>
            </c:ext>
          </c:extLst>
        </c:ser>
        <c:ser>
          <c:idx val="10"/>
          <c:order val="10"/>
          <c:tx>
            <c:strRef>
              <c:f>Graph!$L$1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6">
                <a:shade val="51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Graph!$L$2:$L$12</c:f>
              <c:numCache>
                <c:formatCode>General</c:formatCode>
                <c:ptCount val="11"/>
                <c:pt idx="0">
                  <c:v>71</c:v>
                </c:pt>
                <c:pt idx="1">
                  <c:v>72</c:v>
                </c:pt>
                <c:pt idx="2">
                  <c:v>69</c:v>
                </c:pt>
                <c:pt idx="3">
                  <c:v>103</c:v>
                </c:pt>
                <c:pt idx="4">
                  <c:v>68</c:v>
                </c:pt>
                <c:pt idx="5">
                  <c:v>83</c:v>
                </c:pt>
                <c:pt idx="6">
                  <c:v>90</c:v>
                </c:pt>
                <c:pt idx="7">
                  <c:v>75</c:v>
                </c:pt>
                <c:pt idx="8">
                  <c:v>108</c:v>
                </c:pt>
                <c:pt idx="9">
                  <c:v>122</c:v>
                </c:pt>
                <c:pt idx="10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FB-4643-AEC1-EEBF510E2AF4}"/>
            </c:ext>
          </c:extLst>
        </c:ser>
        <c:ser>
          <c:idx val="11"/>
          <c:order val="11"/>
          <c:tx>
            <c:strRef>
              <c:f>Graph!$M$1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shade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Graph!$M$2:$M$12</c:f>
              <c:numCache>
                <c:formatCode>General</c:formatCode>
                <c:ptCount val="11"/>
                <c:pt idx="0">
                  <c:v>90</c:v>
                </c:pt>
                <c:pt idx="1">
                  <c:v>69</c:v>
                </c:pt>
                <c:pt idx="2">
                  <c:v>57</c:v>
                </c:pt>
                <c:pt idx="3">
                  <c:v>64</c:v>
                </c:pt>
                <c:pt idx="4">
                  <c:v>100</c:v>
                </c:pt>
                <c:pt idx="5">
                  <c:v>87</c:v>
                </c:pt>
                <c:pt idx="6">
                  <c:v>104</c:v>
                </c:pt>
                <c:pt idx="7">
                  <c:v>95</c:v>
                </c:pt>
                <c:pt idx="8">
                  <c:v>119</c:v>
                </c:pt>
                <c:pt idx="9">
                  <c:v>120</c:v>
                </c:pt>
                <c:pt idx="1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6FB-4643-AEC1-EEBF510E2A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88031480"/>
        <c:axId val="588036880"/>
      </c:barChart>
      <c:catAx>
        <c:axId val="588031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036880"/>
        <c:crosses val="autoZero"/>
        <c:auto val="1"/>
        <c:lblAlgn val="ctr"/>
        <c:lblOffset val="100"/>
        <c:noMultiLvlLbl val="0"/>
      </c:catAx>
      <c:valAx>
        <c:axId val="5880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deaths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03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Numbers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Sheet2!$A$2:$A$36</c:f>
              <c:strCache>
                <c:ptCount val="35"/>
                <c:pt idx="0">
                  <c:v>Rail accident</c:v>
                </c:pt>
                <c:pt idx="1">
                  <c:v>Cold</c:v>
                </c:pt>
                <c:pt idx="2">
                  <c:v>Injury</c:v>
                </c:pt>
                <c:pt idx="3">
                  <c:v>Fire Accident</c:v>
                </c:pt>
                <c:pt idx="4">
                  <c:v>Breast Cancer</c:v>
                </c:pt>
                <c:pt idx="5">
                  <c:v>Ulcer</c:v>
                </c:pt>
                <c:pt idx="6">
                  <c:v>Electric accident</c:v>
                </c:pt>
                <c:pt idx="7">
                  <c:v>Blood Cancer</c:v>
                </c:pt>
                <c:pt idx="8">
                  <c:v>Brain tumor</c:v>
                </c:pt>
                <c:pt idx="9">
                  <c:v>Cardiac Arrest</c:v>
                </c:pt>
                <c:pt idx="10">
                  <c:v>Train Accident</c:v>
                </c:pt>
                <c:pt idx="11">
                  <c:v>Anemia</c:v>
                </c:pt>
                <c:pt idx="12">
                  <c:v>Covid-19</c:v>
                </c:pt>
                <c:pt idx="13">
                  <c:v>Tumer</c:v>
                </c:pt>
                <c:pt idx="14">
                  <c:v>Tuberculosis</c:v>
                </c:pt>
                <c:pt idx="15">
                  <c:v>Drowning</c:v>
                </c:pt>
                <c:pt idx="16">
                  <c:v>Diarrhea</c:v>
                </c:pt>
                <c:pt idx="17">
                  <c:v>Neonatal death</c:v>
                </c:pt>
                <c:pt idx="18">
                  <c:v>Lung Failure</c:v>
                </c:pt>
                <c:pt idx="19">
                  <c:v>Road Accident</c:v>
                </c:pt>
                <c:pt idx="20">
                  <c:v>Jaundice</c:v>
                </c:pt>
                <c:pt idx="21">
                  <c:v>Lung Cancer</c:v>
                </c:pt>
                <c:pt idx="22">
                  <c:v>Maternal Death</c:v>
                </c:pt>
                <c:pt idx="23">
                  <c:v>Fever</c:v>
                </c:pt>
                <c:pt idx="24">
                  <c:v>Diabetes</c:v>
                </c:pt>
                <c:pt idx="25">
                  <c:v>Paralysis</c:v>
                </c:pt>
                <c:pt idx="26">
                  <c:v>Heart Disease</c:v>
                </c:pt>
                <c:pt idx="27">
                  <c:v>Other</c:v>
                </c:pt>
                <c:pt idx="28">
                  <c:v>Kidney Failure</c:v>
                </c:pt>
                <c:pt idx="29">
                  <c:v>Asthma</c:v>
                </c:pt>
                <c:pt idx="30">
                  <c:v>Other Accident</c:v>
                </c:pt>
                <c:pt idx="31">
                  <c:v>Pneumonia</c:v>
                </c:pt>
                <c:pt idx="32">
                  <c:v>Cancer</c:v>
                </c:pt>
                <c:pt idx="33">
                  <c:v>Stroke</c:v>
                </c:pt>
                <c:pt idx="34">
                  <c:v>Unknown</c:v>
                </c:pt>
              </c:strCache>
            </c:strRef>
          </c:cat>
          <c:val>
            <c:numRef>
              <c:f>Sheet2!$B$2:$B$36</c:f>
              <c:numCache>
                <c:formatCode>General</c:formatCode>
                <c:ptCount val="35"/>
                <c:pt idx="0">
                  <c:v>2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14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19</c:v>
                </c:pt>
                <c:pt idx="12">
                  <c:v>25</c:v>
                </c:pt>
                <c:pt idx="13">
                  <c:v>25</c:v>
                </c:pt>
                <c:pt idx="14">
                  <c:v>31</c:v>
                </c:pt>
                <c:pt idx="15">
                  <c:v>49</c:v>
                </c:pt>
                <c:pt idx="16">
                  <c:v>51</c:v>
                </c:pt>
                <c:pt idx="17">
                  <c:v>62</c:v>
                </c:pt>
                <c:pt idx="18">
                  <c:v>63</c:v>
                </c:pt>
                <c:pt idx="19">
                  <c:v>67</c:v>
                </c:pt>
                <c:pt idx="20">
                  <c:v>97</c:v>
                </c:pt>
                <c:pt idx="21">
                  <c:v>102</c:v>
                </c:pt>
                <c:pt idx="22">
                  <c:v>139</c:v>
                </c:pt>
                <c:pt idx="23">
                  <c:v>148</c:v>
                </c:pt>
                <c:pt idx="24">
                  <c:v>153</c:v>
                </c:pt>
                <c:pt idx="25">
                  <c:v>159</c:v>
                </c:pt>
                <c:pt idx="26">
                  <c:v>231</c:v>
                </c:pt>
                <c:pt idx="27">
                  <c:v>248</c:v>
                </c:pt>
                <c:pt idx="28">
                  <c:v>251</c:v>
                </c:pt>
                <c:pt idx="29">
                  <c:v>282</c:v>
                </c:pt>
                <c:pt idx="30">
                  <c:v>297</c:v>
                </c:pt>
                <c:pt idx="31">
                  <c:v>346</c:v>
                </c:pt>
                <c:pt idx="32">
                  <c:v>537</c:v>
                </c:pt>
                <c:pt idx="33">
                  <c:v>2833</c:v>
                </c:pt>
                <c:pt idx="34">
                  <c:v>4138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1-4BBC-9417-1BAD131780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8678936"/>
        <c:axId val="678681096"/>
      </c:barChart>
      <c:catAx>
        <c:axId val="678678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Causes of Death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81096"/>
        <c:crosses val="autoZero"/>
        <c:auto val="1"/>
        <c:lblAlgn val="ctr"/>
        <c:lblOffset val="100"/>
        <c:noMultiLvlLbl val="0"/>
      </c:catAx>
      <c:valAx>
        <c:axId val="67868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Disease 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78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Distribution of causes: Known vs Unknown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48-48F2-9093-63FAAA0C38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48-48F2-9093-63FAAA0C38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Sheet1!$A$49:$A$50</c:f>
              <c:strCache>
                <c:ptCount val="2"/>
                <c:pt idx="0">
                  <c:v>Known Cause</c:v>
                </c:pt>
                <c:pt idx="1">
                  <c:v>Unknown Cause</c:v>
                </c:pt>
              </c:strCache>
            </c:strRef>
          </c:cat>
          <c:val>
            <c:numRef>
              <c:f>Sheet1!$B$49:$B$50</c:f>
              <c:numCache>
                <c:formatCode>General</c:formatCode>
                <c:ptCount val="2"/>
                <c:pt idx="0">
                  <c:v>6333</c:v>
                </c:pt>
                <c:pt idx="1">
                  <c:v>4138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B-495A-8861-E0A8A46518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Types of death by known causes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39-45FB-A4CF-4635961CE4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39-45FB-A4CF-4635961CE4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39-45FB-A4CF-4635961CE4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39-45FB-A4CF-4635961CE4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39-45FB-A4CF-4635961CE4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39-45FB-A4CF-4635961CE4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Sheet1!$B$41:$B$46</c:f>
              <c:strCache>
                <c:ptCount val="6"/>
                <c:pt idx="0">
                  <c:v>Accident</c:v>
                </c:pt>
                <c:pt idx="1">
                  <c:v>Cancer</c:v>
                </c:pt>
                <c:pt idx="2">
                  <c:v>Cardiovascular disease</c:v>
                </c:pt>
                <c:pt idx="3">
                  <c:v>Chronic Disease</c:v>
                </c:pt>
                <c:pt idx="4">
                  <c:v>Lung disease</c:v>
                </c:pt>
                <c:pt idx="5">
                  <c:v>Other</c:v>
                </c:pt>
              </c:strCache>
            </c:strRef>
          </c:cat>
          <c:val>
            <c:numRef>
              <c:f>Sheet1!$C$41:$C$46</c:f>
              <c:numCache>
                <c:formatCode>General</c:formatCode>
                <c:ptCount val="6"/>
                <c:pt idx="0">
                  <c:v>461</c:v>
                </c:pt>
                <c:pt idx="1">
                  <c:v>662</c:v>
                </c:pt>
                <c:pt idx="2">
                  <c:v>3080</c:v>
                </c:pt>
                <c:pt idx="3">
                  <c:v>404</c:v>
                </c:pt>
                <c:pt idx="4">
                  <c:v>691</c:v>
                </c:pt>
                <c:pt idx="5">
                  <c:v>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A-4FE9-BF60-DB29BFC286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533400</xdr:colOff>
      <xdr:row>0</xdr:row>
      <xdr:rowOff>61912</xdr:rowOff>
    </xdr:from>
    <xdr:to>
      <xdr:col>23</xdr:col>
      <xdr:colOff>400050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A41E3-CD30-F3E2-A320-482515548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6</xdr:row>
      <xdr:rowOff>57149</xdr:rowOff>
    </xdr:from>
    <xdr:to>
      <xdr:col>15</xdr:col>
      <xdr:colOff>66675</xdr:colOff>
      <xdr:row>23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6F7333-A335-5D75-0EB4-A3EBE2C0F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34</xdr:row>
      <xdr:rowOff>85725</xdr:rowOff>
    </xdr:from>
    <xdr:to>
      <xdr:col>6</xdr:col>
      <xdr:colOff>714375</xdr:colOff>
      <xdr:row>47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EE587E-DCC5-4644-385E-7CDBB3531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552450</xdr:colOff>
      <xdr:row>34</xdr:row>
      <xdr:rowOff>57150</xdr:rowOff>
    </xdr:from>
    <xdr:to>
      <xdr:col>13</xdr:col>
      <xdr:colOff>438150</xdr:colOff>
      <xdr:row>47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94D0C5-AB69-397E-7244-83B4126E5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967C-A1B0-4A26-B59C-005374D51796}">
  <dimension ref="A1:N13"/>
  <sheetViews>
    <sheetView topLeftCell="M1" workbookViewId="0">
      <selection activeCell="Y4" sqref="Y4"/>
    </sheetView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57</v>
      </c>
    </row>
    <row r="2" spans="1:14" x14ac:dyDescent="0.25">
      <c r="A2">
        <v>2011</v>
      </c>
      <c r="B2">
        <v>87</v>
      </c>
      <c r="C2">
        <v>115</v>
      </c>
      <c r="D2">
        <v>64</v>
      </c>
      <c r="E2">
        <v>48</v>
      </c>
      <c r="F2">
        <v>51</v>
      </c>
      <c r="G2">
        <v>40</v>
      </c>
      <c r="H2">
        <v>66</v>
      </c>
      <c r="I2">
        <v>46</v>
      </c>
      <c r="J2">
        <v>78</v>
      </c>
      <c r="K2">
        <v>59</v>
      </c>
      <c r="L2">
        <v>71</v>
      </c>
      <c r="M2">
        <v>90</v>
      </c>
      <c r="N2">
        <f>SUM(B2:M2)</f>
        <v>815</v>
      </c>
    </row>
    <row r="3" spans="1:14" x14ac:dyDescent="0.25">
      <c r="A3">
        <v>2012</v>
      </c>
      <c r="B3">
        <v>71</v>
      </c>
      <c r="C3">
        <v>71</v>
      </c>
      <c r="D3">
        <v>73</v>
      </c>
      <c r="E3">
        <v>63</v>
      </c>
      <c r="F3">
        <v>45</v>
      </c>
      <c r="G3">
        <v>54</v>
      </c>
      <c r="H3">
        <v>63</v>
      </c>
      <c r="I3">
        <v>53</v>
      </c>
      <c r="J3">
        <v>60</v>
      </c>
      <c r="K3">
        <v>69</v>
      </c>
      <c r="L3">
        <v>72</v>
      </c>
      <c r="M3">
        <v>69</v>
      </c>
      <c r="N3">
        <f t="shared" ref="N3:N12" si="0">SUM(B3:M3)</f>
        <v>763</v>
      </c>
    </row>
    <row r="4" spans="1:14" x14ac:dyDescent="0.25">
      <c r="A4">
        <v>2013</v>
      </c>
      <c r="B4">
        <v>93</v>
      </c>
      <c r="C4">
        <v>70</v>
      </c>
      <c r="D4">
        <v>60</v>
      </c>
      <c r="E4">
        <v>55</v>
      </c>
      <c r="F4">
        <v>55</v>
      </c>
      <c r="G4">
        <v>58</v>
      </c>
      <c r="H4">
        <v>71</v>
      </c>
      <c r="I4">
        <v>54</v>
      </c>
      <c r="J4">
        <v>49</v>
      </c>
      <c r="K4">
        <v>63</v>
      </c>
      <c r="L4">
        <v>69</v>
      </c>
      <c r="M4">
        <v>57</v>
      </c>
      <c r="N4">
        <f t="shared" si="0"/>
        <v>754</v>
      </c>
    </row>
    <row r="5" spans="1:14" x14ac:dyDescent="0.25">
      <c r="A5">
        <v>2014</v>
      </c>
      <c r="B5">
        <v>85</v>
      </c>
      <c r="C5">
        <v>70</v>
      </c>
      <c r="D5">
        <v>77</v>
      </c>
      <c r="E5">
        <v>63</v>
      </c>
      <c r="F5">
        <v>60</v>
      </c>
      <c r="G5">
        <v>64</v>
      </c>
      <c r="H5">
        <v>81</v>
      </c>
      <c r="I5">
        <v>50</v>
      </c>
      <c r="J5">
        <v>74</v>
      </c>
      <c r="K5">
        <v>54</v>
      </c>
      <c r="L5">
        <v>103</v>
      </c>
      <c r="M5">
        <v>64</v>
      </c>
      <c r="N5">
        <f t="shared" si="0"/>
        <v>845</v>
      </c>
    </row>
    <row r="6" spans="1:14" x14ac:dyDescent="0.25">
      <c r="A6">
        <v>2015</v>
      </c>
      <c r="B6">
        <v>90</v>
      </c>
      <c r="C6">
        <v>84</v>
      </c>
      <c r="D6">
        <v>54</v>
      </c>
      <c r="E6">
        <v>59</v>
      </c>
      <c r="F6">
        <v>69</v>
      </c>
      <c r="G6">
        <v>81</v>
      </c>
      <c r="H6">
        <v>76</v>
      </c>
      <c r="I6">
        <v>59</v>
      </c>
      <c r="J6">
        <v>74</v>
      </c>
      <c r="K6">
        <v>63</v>
      </c>
      <c r="L6">
        <v>68</v>
      </c>
      <c r="M6">
        <v>100</v>
      </c>
      <c r="N6">
        <f t="shared" si="0"/>
        <v>877</v>
      </c>
    </row>
    <row r="7" spans="1:14" x14ac:dyDescent="0.25">
      <c r="A7">
        <v>2016</v>
      </c>
      <c r="B7">
        <v>100</v>
      </c>
      <c r="C7">
        <v>74</v>
      </c>
      <c r="D7">
        <v>72</v>
      </c>
      <c r="E7">
        <v>67</v>
      </c>
      <c r="F7">
        <v>74</v>
      </c>
      <c r="G7">
        <v>58</v>
      </c>
      <c r="H7">
        <v>64</v>
      </c>
      <c r="I7">
        <v>78</v>
      </c>
      <c r="J7">
        <v>70</v>
      </c>
      <c r="K7">
        <v>76</v>
      </c>
      <c r="L7">
        <v>83</v>
      </c>
      <c r="M7">
        <v>87</v>
      </c>
      <c r="N7">
        <f t="shared" si="0"/>
        <v>903</v>
      </c>
    </row>
    <row r="8" spans="1:14" x14ac:dyDescent="0.25">
      <c r="A8">
        <v>2017</v>
      </c>
      <c r="B8">
        <v>96</v>
      </c>
      <c r="C8">
        <v>96</v>
      </c>
      <c r="D8">
        <v>93</v>
      </c>
      <c r="E8">
        <v>61</v>
      </c>
      <c r="F8">
        <v>98</v>
      </c>
      <c r="G8">
        <v>67</v>
      </c>
      <c r="H8">
        <v>78</v>
      </c>
      <c r="I8">
        <v>94</v>
      </c>
      <c r="J8">
        <v>58</v>
      </c>
      <c r="K8">
        <v>98</v>
      </c>
      <c r="L8">
        <v>90</v>
      </c>
      <c r="M8">
        <v>104</v>
      </c>
      <c r="N8">
        <f t="shared" si="0"/>
        <v>1033</v>
      </c>
    </row>
    <row r="9" spans="1:14" x14ac:dyDescent="0.25">
      <c r="A9">
        <v>2018</v>
      </c>
      <c r="B9">
        <v>106</v>
      </c>
      <c r="C9">
        <v>72</v>
      </c>
      <c r="D9">
        <v>79</v>
      </c>
      <c r="E9">
        <v>70</v>
      </c>
      <c r="F9">
        <v>63</v>
      </c>
      <c r="G9">
        <v>80</v>
      </c>
      <c r="H9">
        <v>67</v>
      </c>
      <c r="I9">
        <v>90</v>
      </c>
      <c r="J9">
        <v>77</v>
      </c>
      <c r="K9">
        <v>73</v>
      </c>
      <c r="L9">
        <v>75</v>
      </c>
      <c r="M9">
        <v>95</v>
      </c>
      <c r="N9">
        <f t="shared" si="0"/>
        <v>947</v>
      </c>
    </row>
    <row r="10" spans="1:14" x14ac:dyDescent="0.25">
      <c r="A10">
        <v>2019</v>
      </c>
      <c r="B10">
        <v>87</v>
      </c>
      <c r="C10">
        <v>100</v>
      </c>
      <c r="D10">
        <v>89</v>
      </c>
      <c r="E10">
        <v>82</v>
      </c>
      <c r="F10">
        <v>88</v>
      </c>
      <c r="G10">
        <v>83</v>
      </c>
      <c r="H10">
        <v>81</v>
      </c>
      <c r="I10">
        <v>75</v>
      </c>
      <c r="J10">
        <v>83</v>
      </c>
      <c r="K10">
        <v>73</v>
      </c>
      <c r="L10">
        <v>108</v>
      </c>
      <c r="M10">
        <v>119</v>
      </c>
      <c r="N10">
        <f t="shared" si="0"/>
        <v>1068</v>
      </c>
    </row>
    <row r="11" spans="1:14" x14ac:dyDescent="0.25">
      <c r="A11">
        <v>2020</v>
      </c>
      <c r="B11">
        <v>118</v>
      </c>
      <c r="C11">
        <v>65</v>
      </c>
      <c r="D11">
        <v>100</v>
      </c>
      <c r="E11">
        <v>81</v>
      </c>
      <c r="F11">
        <v>55</v>
      </c>
      <c r="G11">
        <v>105</v>
      </c>
      <c r="H11">
        <v>90</v>
      </c>
      <c r="I11">
        <v>153</v>
      </c>
      <c r="J11">
        <v>130</v>
      </c>
      <c r="K11">
        <v>66</v>
      </c>
      <c r="L11">
        <v>122</v>
      </c>
      <c r="M11">
        <v>120</v>
      </c>
      <c r="N11">
        <f t="shared" si="0"/>
        <v>1205</v>
      </c>
    </row>
    <row r="12" spans="1:14" x14ac:dyDescent="0.25">
      <c r="A12">
        <v>2021</v>
      </c>
      <c r="B12">
        <v>129</v>
      </c>
      <c r="C12">
        <v>105</v>
      </c>
      <c r="D12">
        <v>109</v>
      </c>
      <c r="E12">
        <v>83</v>
      </c>
      <c r="F12">
        <v>91</v>
      </c>
      <c r="G12">
        <v>102</v>
      </c>
      <c r="H12">
        <v>146</v>
      </c>
      <c r="I12">
        <v>94</v>
      </c>
      <c r="J12">
        <v>94</v>
      </c>
      <c r="K12">
        <v>121</v>
      </c>
      <c r="L12">
        <v>97</v>
      </c>
      <c r="M12">
        <v>99</v>
      </c>
      <c r="N12">
        <f t="shared" si="0"/>
        <v>1270</v>
      </c>
    </row>
    <row r="13" spans="1:14" x14ac:dyDescent="0.25">
      <c r="A13" t="s">
        <v>57</v>
      </c>
      <c r="B13">
        <f>SUM(B2:B12)</f>
        <v>1062</v>
      </c>
      <c r="C13">
        <f t="shared" ref="C13:N13" si="1">SUM(C2:C12)</f>
        <v>922</v>
      </c>
      <c r="D13">
        <f t="shared" si="1"/>
        <v>870</v>
      </c>
      <c r="E13">
        <f t="shared" si="1"/>
        <v>732</v>
      </c>
      <c r="F13">
        <f t="shared" si="1"/>
        <v>749</v>
      </c>
      <c r="G13">
        <f t="shared" si="1"/>
        <v>792</v>
      </c>
      <c r="H13">
        <f t="shared" si="1"/>
        <v>883</v>
      </c>
      <c r="I13">
        <f t="shared" si="1"/>
        <v>846</v>
      </c>
      <c r="J13">
        <f t="shared" si="1"/>
        <v>847</v>
      </c>
      <c r="K13">
        <f t="shared" si="1"/>
        <v>815</v>
      </c>
      <c r="L13">
        <f t="shared" si="1"/>
        <v>958</v>
      </c>
      <c r="M13">
        <f t="shared" si="1"/>
        <v>1004</v>
      </c>
      <c r="N13">
        <f t="shared" si="1"/>
        <v>10480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742B-6ADF-44B8-9792-98B0806A200F}">
  <dimension ref="A1:B36"/>
  <sheetViews>
    <sheetView topLeftCell="A7" workbookViewId="0">
      <selection activeCell="N24" sqref="N24"/>
    </sheetView>
  </sheetViews>
  <sheetFormatPr defaultRowHeight="15" x14ac:dyDescent="0.25"/>
  <sheetData>
    <row r="1" spans="1:2" x14ac:dyDescent="0.25">
      <c r="A1" t="s">
        <v>58</v>
      </c>
      <c r="B1" t="s">
        <v>59</v>
      </c>
    </row>
    <row r="2" spans="1:2" x14ac:dyDescent="0.25">
      <c r="A2" t="s">
        <v>45</v>
      </c>
      <c r="B2">
        <v>2</v>
      </c>
    </row>
    <row r="3" spans="1:2" x14ac:dyDescent="0.25">
      <c r="A3" t="s">
        <v>26</v>
      </c>
      <c r="B3">
        <v>6</v>
      </c>
    </row>
    <row r="4" spans="1:2" x14ac:dyDescent="0.25">
      <c r="A4" t="s">
        <v>35</v>
      </c>
      <c r="B4">
        <v>7</v>
      </c>
    </row>
    <row r="5" spans="1:2" x14ac:dyDescent="0.25">
      <c r="A5" t="s">
        <v>33</v>
      </c>
      <c r="B5">
        <v>8</v>
      </c>
    </row>
    <row r="6" spans="1:2" x14ac:dyDescent="0.25">
      <c r="A6" t="s">
        <v>24</v>
      </c>
      <c r="B6">
        <v>9</v>
      </c>
    </row>
    <row r="7" spans="1:2" x14ac:dyDescent="0.25">
      <c r="A7" t="s">
        <v>51</v>
      </c>
      <c r="B7">
        <v>11</v>
      </c>
    </row>
    <row r="8" spans="1:2" x14ac:dyDescent="0.25">
      <c r="A8" t="s">
        <v>31</v>
      </c>
      <c r="B8">
        <v>13</v>
      </c>
    </row>
    <row r="9" spans="1:2" x14ac:dyDescent="0.25">
      <c r="A9" t="s">
        <v>22</v>
      </c>
      <c r="B9">
        <v>14</v>
      </c>
    </row>
    <row r="10" spans="1:2" x14ac:dyDescent="0.25">
      <c r="A10" t="s">
        <v>23</v>
      </c>
      <c r="B10">
        <v>14</v>
      </c>
    </row>
    <row r="11" spans="1:2" x14ac:dyDescent="0.25">
      <c r="A11" t="s">
        <v>25</v>
      </c>
      <c r="B11">
        <v>16</v>
      </c>
    </row>
    <row r="12" spans="1:2" x14ac:dyDescent="0.25">
      <c r="A12" t="s">
        <v>48</v>
      </c>
      <c r="B12">
        <v>18</v>
      </c>
    </row>
    <row r="13" spans="1:2" x14ac:dyDescent="0.25">
      <c r="A13" t="s">
        <v>20</v>
      </c>
      <c r="B13">
        <v>19</v>
      </c>
    </row>
    <row r="14" spans="1:2" x14ac:dyDescent="0.25">
      <c r="A14" t="s">
        <v>27</v>
      </c>
      <c r="B14">
        <v>25</v>
      </c>
    </row>
    <row r="15" spans="1:2" x14ac:dyDescent="0.25">
      <c r="A15" t="s">
        <v>50</v>
      </c>
      <c r="B15">
        <v>25</v>
      </c>
    </row>
    <row r="16" spans="1:2" x14ac:dyDescent="0.25">
      <c r="A16" t="s">
        <v>49</v>
      </c>
      <c r="B16">
        <v>31</v>
      </c>
    </row>
    <row r="17" spans="1:2" x14ac:dyDescent="0.25">
      <c r="A17" t="s">
        <v>30</v>
      </c>
      <c r="B17">
        <v>49</v>
      </c>
    </row>
    <row r="18" spans="1:2" x14ac:dyDescent="0.25">
      <c r="A18" t="s">
        <v>29</v>
      </c>
      <c r="B18">
        <v>51</v>
      </c>
    </row>
    <row r="19" spans="1:2" x14ac:dyDescent="0.25">
      <c r="A19" t="s">
        <v>41</v>
      </c>
      <c r="B19">
        <v>62</v>
      </c>
    </row>
    <row r="20" spans="1:2" x14ac:dyDescent="0.25">
      <c r="A20" t="s">
        <v>39</v>
      </c>
      <c r="B20">
        <v>63</v>
      </c>
    </row>
    <row r="21" spans="1:2" x14ac:dyDescent="0.25">
      <c r="A21" t="s">
        <v>46</v>
      </c>
      <c r="B21">
        <v>67</v>
      </c>
    </row>
    <row r="22" spans="1:2" x14ac:dyDescent="0.25">
      <c r="A22" t="s">
        <v>36</v>
      </c>
      <c r="B22">
        <v>97</v>
      </c>
    </row>
    <row r="23" spans="1:2" x14ac:dyDescent="0.25">
      <c r="A23" t="s">
        <v>38</v>
      </c>
      <c r="B23">
        <v>102</v>
      </c>
    </row>
    <row r="24" spans="1:2" x14ac:dyDescent="0.25">
      <c r="A24" t="s">
        <v>40</v>
      </c>
      <c r="B24">
        <v>139</v>
      </c>
    </row>
    <row r="25" spans="1:2" x14ac:dyDescent="0.25">
      <c r="A25" t="s">
        <v>32</v>
      </c>
      <c r="B25">
        <v>148</v>
      </c>
    </row>
    <row r="26" spans="1:2" x14ac:dyDescent="0.25">
      <c r="A26" t="s">
        <v>28</v>
      </c>
      <c r="B26">
        <v>153</v>
      </c>
    </row>
    <row r="27" spans="1:2" x14ac:dyDescent="0.25">
      <c r="A27" t="s">
        <v>43</v>
      </c>
      <c r="B27">
        <v>159</v>
      </c>
    </row>
    <row r="28" spans="1:2" x14ac:dyDescent="0.25">
      <c r="A28" t="s">
        <v>34</v>
      </c>
      <c r="B28">
        <v>231</v>
      </c>
    </row>
    <row r="29" spans="1:2" x14ac:dyDescent="0.25">
      <c r="A29" t="s">
        <v>18</v>
      </c>
      <c r="B29">
        <v>248</v>
      </c>
    </row>
    <row r="30" spans="1:2" x14ac:dyDescent="0.25">
      <c r="A30" t="s">
        <v>37</v>
      </c>
      <c r="B30">
        <v>251</v>
      </c>
    </row>
    <row r="31" spans="1:2" x14ac:dyDescent="0.25">
      <c r="A31" t="s">
        <v>21</v>
      </c>
      <c r="B31">
        <v>282</v>
      </c>
    </row>
    <row r="32" spans="1:2" x14ac:dyDescent="0.25">
      <c r="A32" t="s">
        <v>42</v>
      </c>
      <c r="B32">
        <v>297</v>
      </c>
    </row>
    <row r="33" spans="1:2" x14ac:dyDescent="0.25">
      <c r="A33" t="s">
        <v>44</v>
      </c>
      <c r="B33">
        <v>346</v>
      </c>
    </row>
    <row r="34" spans="1:2" x14ac:dyDescent="0.25">
      <c r="A34" t="s">
        <v>14</v>
      </c>
      <c r="B34">
        <v>537</v>
      </c>
    </row>
    <row r="35" spans="1:2" x14ac:dyDescent="0.25">
      <c r="A35" t="s">
        <v>47</v>
      </c>
      <c r="B35">
        <v>2833</v>
      </c>
    </row>
    <row r="36" spans="1:2" x14ac:dyDescent="0.25">
      <c r="A36" t="s">
        <v>19</v>
      </c>
      <c r="B36">
        <v>4138</v>
      </c>
    </row>
  </sheetData>
  <autoFilter ref="A1:B1" xr:uid="{94AE742B-6ADF-44B8-9792-98B0806A200F}">
    <sortState xmlns:xlrd2="http://schemas.microsoft.com/office/spreadsheetml/2017/richdata2" ref="A2:B36">
      <sortCondition ref="B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E310-C61C-4A2C-96ED-391E0552076A}">
  <dimension ref="A2:J50"/>
  <sheetViews>
    <sheetView tabSelected="1" topLeftCell="A41" workbookViewId="0">
      <selection activeCell="B54" sqref="B54:C89"/>
    </sheetView>
  </sheetViews>
  <sheetFormatPr defaultRowHeight="15" x14ac:dyDescent="0.25"/>
  <cols>
    <col min="1" max="1" width="16.7109375" bestFit="1" customWidth="1"/>
    <col min="2" max="2" width="15.42578125" bestFit="1" customWidth="1"/>
    <col min="3" max="3" width="9.7109375" customWidth="1"/>
    <col min="4" max="4" width="22.85546875" customWidth="1"/>
    <col min="5" max="5" width="18" customWidth="1"/>
    <col min="6" max="6" width="18.42578125" customWidth="1"/>
    <col min="7" max="7" width="14.42578125" customWidth="1"/>
    <col min="8" max="8" width="9.85546875" customWidth="1"/>
    <col min="9" max="9" width="9.42578125" bestFit="1" customWidth="1"/>
  </cols>
  <sheetData>
    <row r="2" spans="2:10" x14ac:dyDescent="0.25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52</v>
      </c>
    </row>
    <row r="3" spans="2:10" x14ac:dyDescent="0.25">
      <c r="B3" t="s">
        <v>20</v>
      </c>
      <c r="H3">
        <v>19</v>
      </c>
      <c r="J3">
        <v>19</v>
      </c>
    </row>
    <row r="4" spans="2:10" x14ac:dyDescent="0.25">
      <c r="B4" t="s">
        <v>21</v>
      </c>
      <c r="G4">
        <v>282</v>
      </c>
      <c r="J4">
        <v>282</v>
      </c>
    </row>
    <row r="5" spans="2:10" x14ac:dyDescent="0.25">
      <c r="B5" t="s">
        <v>22</v>
      </c>
      <c r="D5">
        <v>14</v>
      </c>
      <c r="J5">
        <v>14</v>
      </c>
    </row>
    <row r="6" spans="2:10" x14ac:dyDescent="0.25">
      <c r="B6" t="s">
        <v>23</v>
      </c>
      <c r="H6">
        <v>14</v>
      </c>
      <c r="J6">
        <v>14</v>
      </c>
    </row>
    <row r="7" spans="2:10" x14ac:dyDescent="0.25">
      <c r="B7" t="s">
        <v>24</v>
      </c>
      <c r="D7">
        <v>9</v>
      </c>
      <c r="J7">
        <v>9</v>
      </c>
    </row>
    <row r="8" spans="2:10" x14ac:dyDescent="0.25">
      <c r="B8" t="s">
        <v>14</v>
      </c>
      <c r="D8">
        <v>537</v>
      </c>
      <c r="J8">
        <v>537</v>
      </c>
    </row>
    <row r="9" spans="2:10" x14ac:dyDescent="0.25">
      <c r="B9" t="s">
        <v>25</v>
      </c>
      <c r="E9">
        <v>16</v>
      </c>
      <c r="J9">
        <v>16</v>
      </c>
    </row>
    <row r="10" spans="2:10" x14ac:dyDescent="0.25">
      <c r="B10" t="s">
        <v>26</v>
      </c>
      <c r="H10">
        <v>6</v>
      </c>
      <c r="J10">
        <v>6</v>
      </c>
    </row>
    <row r="11" spans="2:10" x14ac:dyDescent="0.25">
      <c r="B11" t="s">
        <v>27</v>
      </c>
      <c r="H11">
        <v>25</v>
      </c>
      <c r="J11">
        <v>25</v>
      </c>
    </row>
    <row r="12" spans="2:10" x14ac:dyDescent="0.25">
      <c r="B12" t="s">
        <v>28</v>
      </c>
      <c r="F12">
        <v>153</v>
      </c>
      <c r="J12">
        <v>153</v>
      </c>
    </row>
    <row r="13" spans="2:10" x14ac:dyDescent="0.25">
      <c r="B13" t="s">
        <v>29</v>
      </c>
      <c r="H13">
        <v>51</v>
      </c>
      <c r="J13">
        <v>51</v>
      </c>
    </row>
    <row r="14" spans="2:10" x14ac:dyDescent="0.25">
      <c r="B14" t="s">
        <v>30</v>
      </c>
      <c r="C14">
        <v>49</v>
      </c>
      <c r="J14">
        <v>49</v>
      </c>
    </row>
    <row r="15" spans="2:10" x14ac:dyDescent="0.25">
      <c r="B15" t="s">
        <v>31</v>
      </c>
      <c r="C15">
        <v>13</v>
      </c>
      <c r="J15">
        <v>13</v>
      </c>
    </row>
    <row r="16" spans="2:10" x14ac:dyDescent="0.25">
      <c r="B16" t="s">
        <v>32</v>
      </c>
      <c r="H16">
        <v>148</v>
      </c>
      <c r="J16">
        <v>148</v>
      </c>
    </row>
    <row r="17" spans="2:10" x14ac:dyDescent="0.25">
      <c r="B17" t="s">
        <v>33</v>
      </c>
      <c r="C17">
        <v>8</v>
      </c>
      <c r="J17">
        <v>8</v>
      </c>
    </row>
    <row r="18" spans="2:10" x14ac:dyDescent="0.25">
      <c r="B18" t="s">
        <v>34</v>
      </c>
      <c r="E18">
        <v>231</v>
      </c>
      <c r="J18">
        <v>231</v>
      </c>
    </row>
    <row r="19" spans="2:10" x14ac:dyDescent="0.25">
      <c r="B19" t="s">
        <v>35</v>
      </c>
      <c r="C19">
        <v>7</v>
      </c>
      <c r="J19">
        <v>7</v>
      </c>
    </row>
    <row r="20" spans="2:10" x14ac:dyDescent="0.25">
      <c r="B20" t="s">
        <v>36</v>
      </c>
      <c r="H20">
        <v>97</v>
      </c>
      <c r="J20">
        <v>97</v>
      </c>
    </row>
    <row r="21" spans="2:10" x14ac:dyDescent="0.25">
      <c r="B21" t="s">
        <v>37</v>
      </c>
      <c r="F21">
        <v>251</v>
      </c>
      <c r="J21">
        <v>251</v>
      </c>
    </row>
    <row r="22" spans="2:10" x14ac:dyDescent="0.25">
      <c r="B22" t="s">
        <v>38</v>
      </c>
      <c r="D22">
        <v>102</v>
      </c>
      <c r="J22">
        <v>102</v>
      </c>
    </row>
    <row r="23" spans="2:10" x14ac:dyDescent="0.25">
      <c r="B23" t="s">
        <v>39</v>
      </c>
      <c r="G23">
        <v>63</v>
      </c>
      <c r="J23">
        <v>63</v>
      </c>
    </row>
    <row r="24" spans="2:10" x14ac:dyDescent="0.25">
      <c r="B24" t="s">
        <v>40</v>
      </c>
      <c r="H24">
        <v>139</v>
      </c>
      <c r="J24">
        <v>139</v>
      </c>
    </row>
    <row r="25" spans="2:10" x14ac:dyDescent="0.25">
      <c r="B25" t="s">
        <v>41</v>
      </c>
      <c r="H25">
        <v>62</v>
      </c>
      <c r="J25">
        <v>62</v>
      </c>
    </row>
    <row r="26" spans="2:10" x14ac:dyDescent="0.25">
      <c r="B26" t="s">
        <v>18</v>
      </c>
      <c r="H26">
        <v>248</v>
      </c>
      <c r="J26">
        <v>248</v>
      </c>
    </row>
    <row r="27" spans="2:10" x14ac:dyDescent="0.25">
      <c r="B27" t="s">
        <v>42</v>
      </c>
      <c r="C27">
        <v>297</v>
      </c>
      <c r="J27">
        <v>297</v>
      </c>
    </row>
    <row r="28" spans="2:10" x14ac:dyDescent="0.25">
      <c r="B28" t="s">
        <v>43</v>
      </c>
      <c r="H28">
        <v>159</v>
      </c>
      <c r="J28">
        <v>159</v>
      </c>
    </row>
    <row r="29" spans="2:10" x14ac:dyDescent="0.25">
      <c r="B29" t="s">
        <v>44</v>
      </c>
      <c r="G29">
        <v>346</v>
      </c>
      <c r="J29">
        <v>346</v>
      </c>
    </row>
    <row r="30" spans="2:10" x14ac:dyDescent="0.25">
      <c r="B30" t="s">
        <v>45</v>
      </c>
      <c r="C30">
        <v>2</v>
      </c>
      <c r="J30">
        <v>2</v>
      </c>
    </row>
    <row r="31" spans="2:10" x14ac:dyDescent="0.25">
      <c r="B31" t="s">
        <v>46</v>
      </c>
      <c r="C31">
        <v>67</v>
      </c>
      <c r="J31">
        <v>67</v>
      </c>
    </row>
    <row r="32" spans="2:10" x14ac:dyDescent="0.25">
      <c r="B32" t="s">
        <v>47</v>
      </c>
      <c r="E32">
        <v>2833</v>
      </c>
      <c r="J32">
        <v>2833</v>
      </c>
    </row>
    <row r="33" spans="1:10" x14ac:dyDescent="0.25">
      <c r="B33" t="s">
        <v>48</v>
      </c>
      <c r="C33">
        <v>18</v>
      </c>
      <c r="J33">
        <v>18</v>
      </c>
    </row>
    <row r="34" spans="1:10" x14ac:dyDescent="0.25">
      <c r="B34" t="s">
        <v>49</v>
      </c>
      <c r="H34">
        <v>31</v>
      </c>
      <c r="J34">
        <v>31</v>
      </c>
    </row>
    <row r="35" spans="1:10" x14ac:dyDescent="0.25">
      <c r="B35" t="s">
        <v>50</v>
      </c>
      <c r="H35">
        <v>25</v>
      </c>
      <c r="J35">
        <v>25</v>
      </c>
    </row>
    <row r="36" spans="1:10" x14ac:dyDescent="0.25">
      <c r="B36" t="s">
        <v>51</v>
      </c>
      <c r="H36">
        <v>11</v>
      </c>
      <c r="J36">
        <v>11</v>
      </c>
    </row>
    <row r="37" spans="1:10" x14ac:dyDescent="0.25">
      <c r="B37" t="s">
        <v>19</v>
      </c>
      <c r="I37">
        <v>4138</v>
      </c>
      <c r="J37">
        <v>4138</v>
      </c>
    </row>
    <row r="38" spans="1:10" x14ac:dyDescent="0.25">
      <c r="B38" t="s">
        <v>52</v>
      </c>
      <c r="C38">
        <v>461</v>
      </c>
      <c r="D38">
        <v>662</v>
      </c>
      <c r="E38">
        <v>3080</v>
      </c>
      <c r="F38">
        <v>404</v>
      </c>
      <c r="G38">
        <v>691</v>
      </c>
      <c r="H38">
        <v>1035</v>
      </c>
      <c r="I38">
        <v>4138</v>
      </c>
      <c r="J38">
        <v>10471</v>
      </c>
    </row>
    <row r="41" spans="1:10" x14ac:dyDescent="0.25">
      <c r="A41" s="1" t="s">
        <v>53</v>
      </c>
      <c r="B41" t="s">
        <v>13</v>
      </c>
      <c r="C41">
        <v>461</v>
      </c>
    </row>
    <row r="42" spans="1:10" x14ac:dyDescent="0.25">
      <c r="A42" s="1"/>
      <c r="B42" t="s">
        <v>14</v>
      </c>
      <c r="C42">
        <v>662</v>
      </c>
    </row>
    <row r="43" spans="1:10" x14ac:dyDescent="0.25">
      <c r="A43" s="1"/>
      <c r="B43" t="s">
        <v>15</v>
      </c>
      <c r="C43">
        <v>3080</v>
      </c>
    </row>
    <row r="44" spans="1:10" x14ac:dyDescent="0.25">
      <c r="A44" s="1"/>
      <c r="B44" t="s">
        <v>16</v>
      </c>
      <c r="C44">
        <v>404</v>
      </c>
    </row>
    <row r="45" spans="1:10" x14ac:dyDescent="0.25">
      <c r="A45" s="1"/>
      <c r="B45" t="s">
        <v>17</v>
      </c>
      <c r="C45">
        <v>691</v>
      </c>
    </row>
    <row r="46" spans="1:10" x14ac:dyDescent="0.25">
      <c r="A46" s="1"/>
      <c r="B46" t="s">
        <v>18</v>
      </c>
      <c r="C46">
        <v>1035</v>
      </c>
    </row>
    <row r="47" spans="1:10" x14ac:dyDescent="0.25">
      <c r="A47" t="s">
        <v>54</v>
      </c>
      <c r="B47" t="s">
        <v>19</v>
      </c>
      <c r="C47">
        <v>4138</v>
      </c>
    </row>
    <row r="49" spans="1:2" x14ac:dyDescent="0.25">
      <c r="A49" t="s">
        <v>55</v>
      </c>
      <c r="B49">
        <v>6333</v>
      </c>
    </row>
    <row r="50" spans="1:2" x14ac:dyDescent="0.25">
      <c r="A50" t="s">
        <v>56</v>
      </c>
      <c r="B50">
        <v>4138</v>
      </c>
    </row>
  </sheetData>
  <mergeCells count="1">
    <mergeCell ref="A41:A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Mohammad Nayeem Hasan</cp:lastModifiedBy>
  <dcterms:created xsi:type="dcterms:W3CDTF">2025-04-04T14:52:35Z</dcterms:created>
  <dcterms:modified xsi:type="dcterms:W3CDTF">2025-04-22T07:55:57Z</dcterms:modified>
</cp:coreProperties>
</file>